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saplayıcı" sheetId="1" state="visible" r:id="rId1"/>
    <sheet xmlns:r="http://schemas.openxmlformats.org/officeDocument/2006/relationships" name="Puan bantları"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color rgb="001F3A5F"/>
      <sz val="18"/>
    </font>
    <font>
      <i val="1"/>
      <color rgb="006C757D"/>
    </font>
    <font>
      <b val="1"/>
      <color rgb="00FFFFFF"/>
      <sz val="13"/>
    </font>
    <font>
      <b val="1"/>
      <color rgb="001F3A5F"/>
      <sz val="12"/>
    </font>
    <font>
      <b val="1"/>
      <color rgb="00FFFFFF"/>
      <sz val="16"/>
    </font>
    <font>
      <b val="1"/>
      <color rgb="00E76F51"/>
      <sz val="14"/>
    </font>
    <font>
      <i val="1"/>
      <color rgb="00E76F51"/>
    </font>
    <font>
      <b val="1"/>
      <color rgb="00FFFFFF"/>
    </font>
    <font>
      <b val="1"/>
    </font>
    <font>
      <b val="1"/>
      <color rgb="009AA5B1"/>
    </font>
  </fonts>
  <fills count="7">
    <fill>
      <patternFill/>
    </fill>
    <fill>
      <patternFill patternType="gray125"/>
    </fill>
    <fill>
      <patternFill patternType="solid">
        <fgColor rgb="001F3A5F"/>
      </patternFill>
    </fill>
    <fill>
      <patternFill patternType="solid">
        <fgColor rgb="00FFFDF5"/>
      </patternFill>
    </fill>
    <fill>
      <patternFill patternType="solid">
        <fgColor rgb="00EEF2F5"/>
      </patternFill>
    </fill>
    <fill>
      <patternFill patternType="solid">
        <fgColor rgb="002A9D8F"/>
      </patternFill>
    </fill>
    <fill>
      <patternFill patternType="solid">
        <fgColor rgb="00DDF1EE"/>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xf>
    <xf numFmtId="0" fontId="0" fillId="3" borderId="1" applyAlignment="1" pivotButton="0" quotePrefix="0" xfId="0">
      <alignment vertical="top" wrapText="1"/>
    </xf>
    <xf numFmtId="0" fontId="4" fillId="4" borderId="1" pivotButton="0" quotePrefix="0" xfId="0"/>
    <xf numFmtId="1" fontId="0" fillId="0" borderId="1" applyAlignment="1" pivotButton="0" quotePrefix="0" xfId="0">
      <alignment horizontal="left" wrapText="1"/>
    </xf>
    <xf numFmtId="2" fontId="0" fillId="0" borderId="1" applyAlignment="1" pivotButton="0" quotePrefix="0" xfId="0">
      <alignment horizontal="left" wrapText="1"/>
    </xf>
    <xf numFmtId="164" fontId="0" fillId="0" borderId="1" applyAlignment="1" pivotButton="0" quotePrefix="0" xfId="0">
      <alignment horizontal="left" wrapText="1"/>
    </xf>
    <xf numFmtId="0" fontId="5" fillId="5" borderId="1" pivotButton="0" quotePrefix="0" xfId="0"/>
    <xf numFmtId="164" fontId="5" fillId="5" borderId="1" applyAlignment="1" pivotButton="0" quotePrefix="0" xfId="0">
      <alignment horizontal="left" wrapText="1"/>
    </xf>
    <xf numFmtId="49" fontId="6" fillId="0" borderId="1" applyAlignment="1" pivotButton="0" quotePrefix="0" xfId="0">
      <alignment horizontal="left" wrapText="1"/>
    </xf>
    <xf numFmtId="49" fontId="0" fillId="0" borderId="1" applyAlignment="1" pivotButton="0" quotePrefix="0" xfId="0">
      <alignment horizontal="left" wrapText="1"/>
    </xf>
    <xf numFmtId="0" fontId="7" fillId="0" borderId="0" pivotButton="0" quotePrefix="0" xfId="0"/>
    <xf numFmtId="0" fontId="10" fillId="0" borderId="0" pivotButton="0" quotePrefix="0" xfId="0"/>
    <xf numFmtId="0" fontId="8" fillId="2" borderId="0" pivotButton="0" quotePrefix="0" xfId="0"/>
    <xf numFmtId="0" fontId="0" fillId="0" borderId="1" pivotButton="0" quotePrefix="0" xfId="0"/>
    <xf numFmtId="0" fontId="9"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90" customWidth="1" min="2" max="2"/>
    <col hidden="1" width="13" customWidth="1" min="5" max="5"/>
  </cols>
  <sheetData>
    <row r="1">
      <c r="A1" s="1" t="inlineStr">
        <is>
          <t>Türkçe Okunabilirlik Hesaplayıcısı (Ateşman, 1997)</t>
        </is>
      </c>
    </row>
    <row r="2">
      <c r="A2" s="2" t="inlineStr">
        <is>
          <t>Metninizi B4 hücresine yapıştırın (hücreye çift tıklayıp Ctrl+V). Sonuçlar aşağıda kendiliğinden hesaplanır.</t>
        </is>
      </c>
    </row>
    <row r="4" ht="230" customHeight="1">
      <c r="A4" s="3" t="inlineStr">
        <is>
          <t>METİN →</t>
        </is>
      </c>
      <c r="B4" s="4" t="inlineStr">
        <is>
          <t>© Ali AKDAĞLI · Tarsus Üniversitesi SBF · Öğretim Üyelerine YZ Eğitimi
Şeker hastalığı ayaklarınıza zarar verebilir. Ayaklarınız acıyı az hissedebilir. Bu yüzden küçük bir yarayı fark etmeyebilirsiniz. Küçük yaralar büyüyebilir. Her gün ayaklarınıza bakın. Ayna kullanın ya da bir yakınınızdan yardım isteyin. Ayaklarınızı ılık suyla yıkayın. Parmak aralarını iyice kurulayın. Rahat ayakkabı giyin. Ayakkabının içini giymeden önce elinizle yoklayın. Şekeriniz iyi olursa yaranız daha çabuk iyileşir. Size verilen özel terliği hep giyin. Bu terlik yaranın üstüne basmanızı önler. Yarada kızarıklık, şişlik, sıcaklık ya da kötü kokulu akıntı varsa hemen hastaneye gidin.</t>
        </is>
      </c>
      <c r="E4">
        <f>TRIM(SUBSTITUTE(SUBSTITUTE(B4,CHAR(10)," "),CHAR(13)," "))</f>
        <v/>
      </c>
    </row>
    <row r="6">
      <c r="A6" s="5" t="inlineStr">
        <is>
          <t>Kelime sayısı</t>
        </is>
      </c>
      <c r="B6" s="6">
        <f>IF(LEN(E4)=0,0,LEN(E4)-LEN(SUBSTITUTE(E4," ",""))+1)</f>
        <v/>
      </c>
    </row>
    <row r="7">
      <c r="A7" s="5" t="inlineStr">
        <is>
          <t>Cümle sayısı</t>
        </is>
      </c>
      <c r="B7" s="6">
        <f>MAX(1,(LEN(E4)-LEN(SUBSTITUTE(E4,".","")))+(LEN(E4)-LEN(SUBSTITUTE(E4,"!","")))+(LEN(E4)-LEN(SUBSTITUTE(E4,"?",""))))</f>
        <v/>
      </c>
    </row>
    <row r="8">
      <c r="A8" s="5" t="inlineStr">
        <is>
          <t>Hece sayısı (ünlü harf sayısı)</t>
        </is>
      </c>
      <c r="B8" s="6">
        <f>SUMPRODUCT(LEN(E4)-LEN(SUBSTITUTE(E4,{"a","e","ı","i","o","ö","u","ü","â","î","û","A","E","I","İ","O","Ö","U","Ü"},"")))</f>
        <v/>
      </c>
    </row>
    <row r="9">
      <c r="A9" s="5" t="inlineStr">
        <is>
          <t>Kelime başına ortalama hece</t>
        </is>
      </c>
      <c r="B9" s="7">
        <f>IF(B6=0,0,B8/B6)</f>
        <v/>
      </c>
    </row>
    <row r="10">
      <c r="A10" s="5" t="inlineStr">
        <is>
          <t>Cümle başına ortalama kelime</t>
        </is>
      </c>
      <c r="B10" s="8">
        <f>IF(B7=0,0,B6/B7)</f>
        <v/>
      </c>
    </row>
    <row r="11">
      <c r="A11" s="9" t="inlineStr">
        <is>
          <t>ATEŞMAN PUANI</t>
        </is>
      </c>
      <c r="B11" s="10">
        <f>IF(B6=0,"",ROUND(198.825-40.175*B9-2.61*B10,1))</f>
        <v/>
      </c>
    </row>
    <row r="12">
      <c r="A12" s="5" t="inlineStr">
        <is>
          <t>Zorluk düzeyi</t>
        </is>
      </c>
      <c r="B12" s="11">
        <f>IF(B11="","",IF(B11&gt;=90,"Çok kolay",IF(B11&gt;=70,"Kolay",IF(B11&gt;=50,"Orta güçlükte",IF(B11&gt;=30,"Zor","Çok zor")))))</f>
        <v/>
      </c>
    </row>
    <row r="13" ht="36" customHeight="1">
      <c r="A13" s="5" t="inlineStr">
        <is>
          <t>Hasta materyali için öneri</t>
        </is>
      </c>
      <c r="B13" s="12">
        <f>IF(B11="","",IF(B11&gt;=70,"✓ Hasta materyali için uygun görünüyor. Yine de bir hastaya okutup geri anlattırın.",IF(B10&gt;12,"Cümleleri kısaltın (hedef: cümle başına 10 kelimenin altı).","Uzun ve yabancı kökenli kelimeleri sadeleştirin; tıbbi terimleri açıklayın.")))</f>
        <v/>
      </c>
    </row>
    <row r="15">
      <c r="A15" s="13" t="inlineStr">
        <is>
          <t>Not: Formül kısaltmaları (KŞ, DM), sayıları ve 'p.o.' gibi noktalı kısaltmaları anlamaz; bu tür metinlerde puan yanıltıcı olabilir.</t>
        </is>
      </c>
    </row>
    <row r="16">
      <c r="A16" s="2" t="inlineStr">
        <is>
          <t>Ateşman puanı = 198,825 − 40,175 × (hece/kelime) − 2,610 × (kelime/cümle)</t>
        </is>
      </c>
    </row>
    <row r="18">
      <c r="A18" s="14" t="inlineStr">
        <is>
          <t>© Ali AKDAĞLI · Tarsus Üniversitesi Sağlık Bilimleri Fakültesi · Öğretim Üyelerine YZ Eğitimi</t>
        </is>
      </c>
    </row>
  </sheetData>
  <pageMargins left="0.75" right="0.75" top="1" bottom="1" header="0.5" footer="0.5"/>
  <headerFooter>
    <oddHeader>&amp;C&amp;20 &amp;KBFBFBFAli AKDAĞLI</oddHeader>
    <oddFooter>&amp;C© Ali AKDAĞLI · Tarsus Üniversitesi SBF YZ Eğitimi</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20" customWidth="1" min="2" max="2"/>
    <col width="60" customWidth="1" min="3" max="3"/>
  </cols>
  <sheetData>
    <row r="1">
      <c r="A1" s="15" t="inlineStr">
        <is>
          <t>Puan</t>
        </is>
      </c>
      <c r="B1" s="15" t="inlineStr">
        <is>
          <t>Düzey</t>
        </is>
      </c>
      <c r="C1" s="15" t="inlineStr">
        <is>
          <t>Kimler rahat okur? (yaklaşık)</t>
        </is>
      </c>
    </row>
    <row r="2">
      <c r="A2" s="16" t="inlineStr">
        <is>
          <t>90–100</t>
        </is>
      </c>
      <c r="B2" s="16" t="inlineStr">
        <is>
          <t>Çok kolay</t>
        </is>
      </c>
      <c r="C2" s="16" t="inlineStr">
        <is>
          <t>İlkokul düzeyi okurlar</t>
        </is>
      </c>
    </row>
    <row r="3">
      <c r="A3" s="17" t="inlineStr">
        <is>
          <t>70–89</t>
        </is>
      </c>
      <c r="B3" s="17" t="inlineStr">
        <is>
          <t>Kolay</t>
        </is>
      </c>
      <c r="C3" s="17" t="inlineStr">
        <is>
          <t>İlkokul üst / ortaokul; HASTA MATERYALİ HEDEFİ</t>
        </is>
      </c>
    </row>
    <row r="4">
      <c r="A4" s="16" t="inlineStr">
        <is>
          <t>50–69</t>
        </is>
      </c>
      <c r="B4" s="16" t="inlineStr">
        <is>
          <t>Orta güçlükte</t>
        </is>
      </c>
      <c r="C4" s="16" t="inlineStr">
        <is>
          <t>Ortaokul / lise</t>
        </is>
      </c>
    </row>
    <row r="5">
      <c r="A5" s="16" t="inlineStr">
        <is>
          <t>30–49</t>
        </is>
      </c>
      <c r="B5" s="16" t="inlineStr">
        <is>
          <t>Zor</t>
        </is>
      </c>
      <c r="C5" s="16" t="inlineStr">
        <is>
          <t>Lise / üniversite</t>
        </is>
      </c>
    </row>
    <row r="6">
      <c r="A6" s="16" t="inlineStr">
        <is>
          <t>1–29</t>
        </is>
      </c>
      <c r="B6" s="16" t="inlineStr">
        <is>
          <t>Çok zor</t>
        </is>
      </c>
      <c r="C6" s="16" t="inlineStr">
        <is>
          <t>Lisans ve üstü, uzman okur</t>
        </is>
      </c>
    </row>
    <row r="9">
      <c r="A9" s="2" t="inlineStr">
        <is>
          <t>Kaynak: Ateşman E. Türkçede okunabilirliğin ölçülmesi. A.Ü. TÖMER Dil Dergisi. 1997;(58):71-4.</t>
        </is>
      </c>
    </row>
  </sheetData>
  <pageMargins left="0.75" right="0.75" top="1" bottom="1" header="0.5" footer="0.5"/>
  <headerFooter>
    <oddHeader>&amp;C&amp;20 &amp;KBFBFBFAli AKDAĞLI</oddHeader>
    <oddFooter>&amp;C© Ali AKDAĞLI · Tarsus Üniversitesi SBF YZ Eğitimi</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2026-10-29T11:01:18Z</dcterms:created>
  <dcterms:modified xmlns:dcterms="http://purl.org/dc/terms/" xmlns:xsi="http://www.w3.org/2001/XMLSchema-instance" xsi:type="dcterms:W3CDTF">2026-10-29T11:01:18Z</dcterms:modified>
</cp:coreProperties>
</file>